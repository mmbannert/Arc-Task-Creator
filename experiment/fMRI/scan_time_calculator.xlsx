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avuz Karaca\PycharmProjects\ArcRuleGenerator\experiment\fMRI\"/>
    </mc:Choice>
  </mc:AlternateContent>
  <xr:revisionPtr revIDLastSave="0" documentId="13_ncr:1_{DBCDA4A3-44E9-46C4-A7E4-ED4128260E92}" xr6:coauthVersionLast="47" xr6:coauthVersionMax="47" xr10:uidLastSave="{00000000-0000-0000-0000-000000000000}"/>
  <bookViews>
    <workbookView xWindow="13044" yWindow="1236" windowWidth="15912" windowHeight="13644" xr2:uid="{00000000-000D-0000-FFFF-FFFF00000000}"/>
  </bookViews>
  <sheets>
    <sheet name="Scan Time 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B38" i="1"/>
  <c r="B34" i="1"/>
  <c r="B37" i="1" s="1"/>
  <c r="B14" i="1"/>
  <c r="B10" i="1"/>
  <c r="B13" i="1" s="1"/>
  <c r="B39" i="1" l="1"/>
  <c r="B15" i="1"/>
  <c r="B19" i="1" s="1"/>
  <c r="B20" i="1" s="1"/>
  <c r="B23" i="1"/>
  <c r="B24" i="1" s="1"/>
  <c r="B43" i="1" l="1"/>
  <c r="B44" i="1" s="1"/>
  <c r="B40" i="1"/>
  <c r="B47" i="1" l="1"/>
  <c r="B48" i="1" s="1"/>
</calcChain>
</file>

<file path=xl/sharedStrings.xml><?xml version="1.0" encoding="utf-8"?>
<sst xmlns="http://schemas.openxmlformats.org/spreadsheetml/2006/main" count="39" uniqueCount="23">
  <si>
    <t>fMRI Scan Time Calculator</t>
  </si>
  <si>
    <t>Rest time (sec)</t>
  </si>
  <si>
    <t>Initial trial per phase</t>
  </si>
  <si>
    <t>Total trials per phase</t>
  </si>
  <si>
    <t>Total trials per block</t>
  </si>
  <si>
    <t>Total rest per block (sec)</t>
  </si>
  <si>
    <t>Total time per block (sec)</t>
  </si>
  <si>
    <t>Fixed</t>
  </si>
  <si>
    <t>Variable</t>
  </si>
  <si>
    <t>Result</t>
  </si>
  <si>
    <t>Legend:</t>
  </si>
  <si>
    <r>
      <t xml:space="preserve">Phases </t>
    </r>
    <r>
      <rPr>
        <b/>
        <sz val="11"/>
        <color theme="1"/>
        <rFont val="Calibri"/>
        <family val="2"/>
        <scheme val="minor"/>
      </rPr>
      <t>per block</t>
    </r>
  </si>
  <si>
    <r>
      <t>Decision trials</t>
    </r>
    <r>
      <rPr>
        <b/>
        <sz val="11"/>
        <color theme="1"/>
        <rFont val="Calibri"/>
        <family val="2"/>
        <scheme val="minor"/>
      </rPr>
      <t xml:space="preserve"> per phase</t>
    </r>
  </si>
  <si>
    <r>
      <t>Decision window</t>
    </r>
    <r>
      <rPr>
        <b/>
        <sz val="11"/>
        <color theme="1"/>
        <rFont val="Calibri"/>
        <family val="2"/>
        <scheme val="minor"/>
      </rPr>
      <t xml:space="preserve"> per trial</t>
    </r>
    <r>
      <rPr>
        <sz val="11"/>
        <color theme="1"/>
        <rFont val="Calibri"/>
        <family val="2"/>
        <scheme val="minor"/>
      </rPr>
      <t xml:space="preserve"> (sec)</t>
    </r>
  </si>
  <si>
    <r>
      <t xml:space="preserve">Blocks </t>
    </r>
    <r>
      <rPr>
        <b/>
        <sz val="11"/>
        <color theme="1"/>
        <rFont val="Calibri"/>
        <family val="2"/>
        <scheme val="minor"/>
      </rPr>
      <t>per session</t>
    </r>
  </si>
  <si>
    <t>Total scan time  per session (sec)</t>
  </si>
  <si>
    <t>Total scan time per session (min)</t>
  </si>
  <si>
    <r>
      <t xml:space="preserve">Sessions </t>
    </r>
    <r>
      <rPr>
        <b/>
        <sz val="11"/>
        <color theme="1"/>
        <rFont val="Calibri"/>
        <family val="2"/>
        <scheme val="minor"/>
      </rPr>
      <t>per subject</t>
    </r>
  </si>
  <si>
    <t>Current:</t>
  </si>
  <si>
    <t>Total time per block (min)</t>
  </si>
  <si>
    <t>My suggestion (6 decision trials, less sessions):</t>
  </si>
  <si>
    <t>Total scan time  per subject (sec)</t>
  </si>
  <si>
    <t>Total scan time per subject (min)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</si>
</sst>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7F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2" borderId="0" xfId="0" applyFill="1"/>
    <xf numFmtId="0" fontId="0" fillId="4" borderId="0" xfId="0" applyFill="1"/>
    <xf numFmtId="0" fontId="0" fillId="3" borderId="0" xfId="0" applyFill="1"/>
    <xf numFmtId="0" fontId="3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2" borderId="4" xfId="0" applyFill="1" applyBorder="1"/>
    <xf numFmtId="0" fontId="0" fillId="0" borderId="3" xfId="0" applyBorder="1"/>
    <xf numFmtId="0" fontId="0" fillId="3" borderId="4" xfId="0" applyFill="1" applyBorder="1"/>
    <xf numFmtId="0" fontId="0" fillId="0" borderId="4" xfId="0" applyBorder="1"/>
    <xf numFmtId="0" fontId="0" fillId="2" borderId="3" xfId="0" applyFill="1" applyBorder="1"/>
    <xf numFmtId="0" fontId="0" fillId="3" borderId="3" xfId="0" applyFill="1" applyBorder="1"/>
    <xf numFmtId="0" fontId="0" fillId="3" borderId="5" xfId="0" applyFill="1" applyBorder="1"/>
    <xf numFmtId="0" fontId="0" fillId="4" borderId="1" xfId="0" applyFill="1" applyBorder="1"/>
    <xf numFmtId="0" fontId="0" fillId="4" borderId="2" xfId="0" applyFill="1" applyBorder="1"/>
    <xf numFmtId="0" fontId="0" fillId="3" borderId="6" xfId="0" applyFill="1" applyBorder="1"/>
  </cellXfs>
  <cellStyles count="1">
    <cellStyle name="Standard" xfId="0" builtinId="0"/>
  </cellStyles>
  <dxfs count="0"/>
  <tableStyles count="0" defaultTableStyle="TableStyleMedium9" defaultPivotStyle="PivotStyleLight16"/>
  <colors>
    <mruColors>
      <color rgb="FFEBF7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6"/>
  <sheetViews>
    <sheetView tabSelected="1" topLeftCell="A21" workbookViewId="0">
      <selection activeCell="H34" sqref="H34"/>
    </sheetView>
  </sheetViews>
  <sheetFormatPr baseColWidth="10" defaultColWidth="8.88671875" defaultRowHeight="14.4" x14ac:dyDescent="0.3"/>
  <cols>
    <col min="1" max="1" width="43.33203125" customWidth="1"/>
    <col min="2" max="2" width="9.109375" customWidth="1"/>
  </cols>
  <sheetData>
    <row r="1" spans="1:4" ht="18" x14ac:dyDescent="0.35">
      <c r="A1" s="1" t="s">
        <v>0</v>
      </c>
    </row>
    <row r="4" spans="1:4" x14ac:dyDescent="0.3">
      <c r="A4" s="5" t="s">
        <v>18</v>
      </c>
      <c r="D4" t="s">
        <v>10</v>
      </c>
    </row>
    <row r="5" spans="1:4" x14ac:dyDescent="0.3">
      <c r="A5" s="15" t="s">
        <v>13</v>
      </c>
      <c r="B5" s="16">
        <v>10</v>
      </c>
      <c r="D5" s="3" t="s">
        <v>8</v>
      </c>
    </row>
    <row r="6" spans="1:4" x14ac:dyDescent="0.3">
      <c r="A6" s="6" t="s">
        <v>1</v>
      </c>
      <c r="B6" s="7">
        <v>10</v>
      </c>
      <c r="D6" s="2" t="s">
        <v>7</v>
      </c>
    </row>
    <row r="7" spans="1:4" x14ac:dyDescent="0.3">
      <c r="A7" s="9"/>
      <c r="B7" s="11"/>
      <c r="D7" s="4" t="s">
        <v>9</v>
      </c>
    </row>
    <row r="8" spans="1:4" x14ac:dyDescent="0.3">
      <c r="A8" s="6" t="s">
        <v>12</v>
      </c>
      <c r="B8" s="7">
        <v>4</v>
      </c>
    </row>
    <row r="9" spans="1:4" x14ac:dyDescent="0.3">
      <c r="A9" s="12" t="s">
        <v>2</v>
      </c>
      <c r="B9" s="8">
        <v>1</v>
      </c>
    </row>
    <row r="10" spans="1:4" x14ac:dyDescent="0.3">
      <c r="A10" s="13" t="s">
        <v>3</v>
      </c>
      <c r="B10" s="10">
        <f>B8+B9</f>
        <v>5</v>
      </c>
    </row>
    <row r="11" spans="1:4" x14ac:dyDescent="0.3">
      <c r="A11" s="9"/>
      <c r="B11" s="11"/>
    </row>
    <row r="12" spans="1:4" x14ac:dyDescent="0.3">
      <c r="A12" s="12" t="s">
        <v>11</v>
      </c>
      <c r="B12" s="8">
        <v>2</v>
      </c>
    </row>
    <row r="13" spans="1:4" x14ac:dyDescent="0.3">
      <c r="A13" s="13" t="s">
        <v>4</v>
      </c>
      <c r="B13" s="10">
        <f>B12*B10</f>
        <v>10</v>
      </c>
    </row>
    <row r="14" spans="1:4" x14ac:dyDescent="0.3">
      <c r="A14" s="13" t="s">
        <v>5</v>
      </c>
      <c r="B14" s="10">
        <f>B6*2</f>
        <v>20</v>
      </c>
    </row>
    <row r="15" spans="1:4" x14ac:dyDescent="0.3">
      <c r="A15" s="13" t="s">
        <v>6</v>
      </c>
      <c r="B15" s="10">
        <f>(B5*B13)+B14</f>
        <v>120</v>
      </c>
    </row>
    <row r="16" spans="1:4" x14ac:dyDescent="0.3">
      <c r="A16" s="13" t="s">
        <v>19</v>
      </c>
      <c r="B16" s="10">
        <f>B15/60</f>
        <v>2</v>
      </c>
    </row>
    <row r="17" spans="1:2" x14ac:dyDescent="0.3">
      <c r="A17" s="9"/>
      <c r="B17" s="11"/>
    </row>
    <row r="18" spans="1:2" x14ac:dyDescent="0.3">
      <c r="A18" s="6" t="s">
        <v>14</v>
      </c>
      <c r="B18" s="7">
        <v>5</v>
      </c>
    </row>
    <row r="19" spans="1:2" x14ac:dyDescent="0.3">
      <c r="A19" s="13" t="s">
        <v>15</v>
      </c>
      <c r="B19" s="10">
        <f>B18*B15</f>
        <v>600</v>
      </c>
    </row>
    <row r="20" spans="1:2" x14ac:dyDescent="0.3">
      <c r="A20" s="13" t="s">
        <v>16</v>
      </c>
      <c r="B20" s="10">
        <f>B19/60</f>
        <v>10</v>
      </c>
    </row>
    <row r="21" spans="1:2" x14ac:dyDescent="0.3">
      <c r="A21" s="9"/>
      <c r="B21" s="11"/>
    </row>
    <row r="22" spans="1:2" x14ac:dyDescent="0.3">
      <c r="A22" s="6" t="s">
        <v>17</v>
      </c>
      <c r="B22" s="7">
        <v>8</v>
      </c>
    </row>
    <row r="23" spans="1:2" x14ac:dyDescent="0.3">
      <c r="A23" s="13" t="s">
        <v>21</v>
      </c>
      <c r="B23" s="10">
        <f>B22*B19</f>
        <v>4800</v>
      </c>
    </row>
    <row r="24" spans="1:2" x14ac:dyDescent="0.3">
      <c r="A24" s="14" t="s">
        <v>22</v>
      </c>
      <c r="B24" s="17">
        <f>B23/60</f>
        <v>80</v>
      </c>
    </row>
    <row r="28" spans="1:2" x14ac:dyDescent="0.3">
      <c r="A28" s="5" t="s">
        <v>20</v>
      </c>
    </row>
    <row r="29" spans="1:2" x14ac:dyDescent="0.3">
      <c r="A29" s="15" t="s">
        <v>13</v>
      </c>
      <c r="B29" s="16">
        <v>9</v>
      </c>
    </row>
    <row r="30" spans="1:2" x14ac:dyDescent="0.3">
      <c r="A30" s="6" t="s">
        <v>1</v>
      </c>
      <c r="B30" s="7">
        <v>9</v>
      </c>
    </row>
    <row r="31" spans="1:2" x14ac:dyDescent="0.3">
      <c r="A31" s="9"/>
      <c r="B31" s="11"/>
    </row>
    <row r="32" spans="1:2" x14ac:dyDescent="0.3">
      <c r="A32" s="6" t="s">
        <v>12</v>
      </c>
      <c r="B32" s="7">
        <v>6</v>
      </c>
    </row>
    <row r="33" spans="1:2" x14ac:dyDescent="0.3">
      <c r="A33" s="12" t="s">
        <v>2</v>
      </c>
      <c r="B33" s="8">
        <v>1</v>
      </c>
    </row>
    <row r="34" spans="1:2" x14ac:dyDescent="0.3">
      <c r="A34" s="13" t="s">
        <v>3</v>
      </c>
      <c r="B34" s="10">
        <f>B32+B33</f>
        <v>7</v>
      </c>
    </row>
    <row r="35" spans="1:2" x14ac:dyDescent="0.3">
      <c r="A35" s="9"/>
      <c r="B35" s="11"/>
    </row>
    <row r="36" spans="1:2" x14ac:dyDescent="0.3">
      <c r="A36" s="12" t="s">
        <v>11</v>
      </c>
      <c r="B36" s="8">
        <v>2</v>
      </c>
    </row>
    <row r="37" spans="1:2" x14ac:dyDescent="0.3">
      <c r="A37" s="13" t="s">
        <v>4</v>
      </c>
      <c r="B37" s="10">
        <f>B36*B34</f>
        <v>14</v>
      </c>
    </row>
    <row r="38" spans="1:2" x14ac:dyDescent="0.3">
      <c r="A38" s="13" t="s">
        <v>5</v>
      </c>
      <c r="B38" s="10">
        <f>B30*2</f>
        <v>18</v>
      </c>
    </row>
    <row r="39" spans="1:2" x14ac:dyDescent="0.3">
      <c r="A39" s="13" t="s">
        <v>6</v>
      </c>
      <c r="B39" s="10">
        <f>(B29*B37)+B38</f>
        <v>144</v>
      </c>
    </row>
    <row r="40" spans="1:2" x14ac:dyDescent="0.3">
      <c r="A40" s="13" t="s">
        <v>19</v>
      </c>
      <c r="B40" s="10">
        <f>B39/60</f>
        <v>2.4</v>
      </c>
    </row>
    <row r="41" spans="1:2" x14ac:dyDescent="0.3">
      <c r="A41" s="9"/>
      <c r="B41" s="11"/>
    </row>
    <row r="42" spans="1:2" x14ac:dyDescent="0.3">
      <c r="A42" s="6" t="s">
        <v>14</v>
      </c>
      <c r="B42" s="7">
        <v>5</v>
      </c>
    </row>
    <row r="43" spans="1:2" x14ac:dyDescent="0.3">
      <c r="A43" s="13" t="s">
        <v>15</v>
      </c>
      <c r="B43" s="10">
        <f>B42*B39</f>
        <v>720</v>
      </c>
    </row>
    <row r="44" spans="1:2" x14ac:dyDescent="0.3">
      <c r="A44" s="13" t="s">
        <v>16</v>
      </c>
      <c r="B44" s="10">
        <f>B43/60</f>
        <v>12</v>
      </c>
    </row>
    <row r="45" spans="1:2" x14ac:dyDescent="0.3">
      <c r="A45" s="9"/>
      <c r="B45" s="11"/>
    </row>
    <row r="46" spans="1:2" x14ac:dyDescent="0.3">
      <c r="A46" s="6" t="s">
        <v>17</v>
      </c>
      <c r="B46" s="7">
        <v>6</v>
      </c>
    </row>
    <row r="47" spans="1:2" x14ac:dyDescent="0.3">
      <c r="A47" s="13" t="s">
        <v>21</v>
      </c>
      <c r="B47" s="10">
        <f>B46*B43</f>
        <v>4320</v>
      </c>
    </row>
    <row r="48" spans="1:2" x14ac:dyDescent="0.3">
      <c r="A48" s="14" t="s">
        <v>22</v>
      </c>
      <c r="B48" s="17">
        <f>B47/60</f>
        <v>72</v>
      </c>
    </row>
    <row r="56" spans="1:1" x14ac:dyDescent="0.3">
      <c r="A56" s="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Scan Time 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Yavuz Karaca</cp:lastModifiedBy>
  <dcterms:created xsi:type="dcterms:W3CDTF">2026-05-06T21:08:22Z</dcterms:created>
  <dcterms:modified xsi:type="dcterms:W3CDTF">2026-07-05T17:58:39Z</dcterms:modified>
</cp:coreProperties>
</file>